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50ADDAA2-3B36-444F-8341-50ACE6CEC6CB}" xr6:coauthVersionLast="47" xr6:coauthVersionMax="47" xr10:uidLastSave="{00000000-0000-0000-0000-000000000000}"/>
  <bookViews>
    <workbookView xWindow="-120" yWindow="-120" windowWidth="20730" windowHeight="11160" xr2:uid="{395A7E49-195E-464E-9AD5-42D91A599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F17" i="1"/>
  <c r="F16" i="1"/>
  <c r="F15" i="1"/>
  <c r="F14" i="1"/>
  <c r="J2" i="1" a="1"/>
  <c r="J2" i="1" s="1"/>
  <c r="F13" i="1"/>
  <c r="I2" i="1" a="1"/>
  <c r="I2" i="1" s="1"/>
  <c r="H2" i="1" a="1"/>
  <c r="H2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<sst xmlns="http://schemas.openxmlformats.org/spreadsheetml/2006/main" count="36" uniqueCount="31">
  <si>
    <t>Order id</t>
  </si>
  <si>
    <t>Order Date</t>
  </si>
  <si>
    <t>Region</t>
  </si>
  <si>
    <t>South</t>
  </si>
  <si>
    <t>North</t>
  </si>
  <si>
    <t>East</t>
  </si>
  <si>
    <t>West</t>
  </si>
  <si>
    <t>west</t>
  </si>
  <si>
    <t>Electrical Heater</t>
  </si>
  <si>
    <t>Furturiner sofa</t>
  </si>
  <si>
    <t>Laptops</t>
  </si>
  <si>
    <t>Mobiles</t>
  </si>
  <si>
    <t>washing machine</t>
  </si>
  <si>
    <t>vaccum cleaner</t>
  </si>
  <si>
    <t>Product</t>
  </si>
  <si>
    <t>Tvs</t>
  </si>
  <si>
    <t>Mac book</t>
  </si>
  <si>
    <t>tablets</t>
  </si>
  <si>
    <t>Fridge</t>
  </si>
  <si>
    <t>Price</t>
  </si>
  <si>
    <t>Sales</t>
  </si>
  <si>
    <t>Month</t>
  </si>
  <si>
    <t>Year</t>
  </si>
  <si>
    <t>Day</t>
  </si>
  <si>
    <t>Total Sales</t>
  </si>
  <si>
    <t>South sales</t>
  </si>
  <si>
    <t>North sales</t>
  </si>
  <si>
    <t>East sales</t>
  </si>
  <si>
    <t>west sales</t>
  </si>
  <si>
    <t>Performance</t>
  </si>
  <si>
    <t>Profit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</si>
</sst>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FB50-CD0E-48A5-9DA8-78FC19C45D3E}">
  <dimension ref="A1:K17"/>
  <sheetViews>
    <sheetView tabSelected="1" workbookViewId="0">
      <selection activeCell="J9" sqref="J9"/>
    </sheetView>
  </sheetViews>
  <sheetFormatPr defaultRowHeight="15" x14ac:dyDescent="0.25"/>
  <cols>
    <col min="2" max="2" width="12.140625" customWidth="1"/>
    <col min="3" max="3" width="14.85546875" customWidth="1"/>
    <col min="4" max="4" width="16.42578125" customWidth="1"/>
    <col min="5" max="5" width="11" customWidth="1"/>
    <col min="7" max="7" width="10.140625" customWidth="1"/>
    <col min="9" max="9" width="10.85546875" customWidth="1"/>
    <col min="10" max="10" width="17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14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29</v>
      </c>
      <c r="K1" t="s">
        <v>30</v>
      </c>
    </row>
    <row r="2" spans="1:11" x14ac:dyDescent="0.25">
      <c r="A2">
        <v>101</v>
      </c>
      <c r="B2" s="1">
        <v>45671</v>
      </c>
      <c r="C2" t="s">
        <v>3</v>
      </c>
      <c r="D2" t="s">
        <v>8</v>
      </c>
      <c r="E2">
        <v>2500</v>
      </c>
      <c r="F2">
        <v>2</v>
      </c>
      <c r="G2" t="str" cm="1">
        <f t="array" ref="G2:G11">TEXT(B2:B11,"MMMM")</f>
        <v>January</v>
      </c>
      <c r="H2" t="str" cm="1">
        <f t="array" ref="H2:H11">TEXT(B2:B11,"yyyy")</f>
        <v>2025</v>
      </c>
      <c r="I2" t="str" cm="1">
        <f t="array" ref="I2:I11">TEXT(B2:B11,"dddd")</f>
        <v>Tuesday</v>
      </c>
      <c r="J2" t="str" cm="1">
        <f t="array" ref="J2:J11">IF(E2:E11&lt;3000,"underperformance","ok")</f>
        <v>underperformance</v>
      </c>
      <c r="K2">
        <f xml:space="preserve"> SUMIFS(E2:E11,C2:C11,"south",D2:D11,"east")</f>
        <v>0</v>
      </c>
    </row>
    <row r="3" spans="1:11" x14ac:dyDescent="0.25">
      <c r="A3">
        <v>102</v>
      </c>
      <c r="B3" s="1">
        <v>45306</v>
      </c>
      <c r="C3" t="s">
        <v>4</v>
      </c>
      <c r="D3" t="s">
        <v>9</v>
      </c>
      <c r="E3">
        <v>15000</v>
      </c>
      <c r="F3">
        <v>2</v>
      </c>
      <c r="G3" t="str">
        <v>January</v>
      </c>
      <c r="H3" t="str">
        <v>2024</v>
      </c>
      <c r="I3" t="str">
        <v>Monday</v>
      </c>
      <c r="J3" t="str">
        <v>ok</v>
      </c>
    </row>
    <row r="4" spans="1:11" x14ac:dyDescent="0.25">
      <c r="A4">
        <v>103</v>
      </c>
      <c r="B4" s="1">
        <v>44942</v>
      </c>
      <c r="C4" t="s">
        <v>5</v>
      </c>
      <c r="D4" t="s">
        <v>10</v>
      </c>
      <c r="E4">
        <v>65000</v>
      </c>
      <c r="F4">
        <v>2</v>
      </c>
      <c r="G4" t="str">
        <v>January</v>
      </c>
      <c r="H4" t="str">
        <v>2023</v>
      </c>
      <c r="I4" t="str">
        <v>Monday</v>
      </c>
      <c r="J4" t="str">
        <v>ok</v>
      </c>
    </row>
    <row r="5" spans="1:11" x14ac:dyDescent="0.25">
      <c r="A5">
        <v>104</v>
      </c>
      <c r="B5" s="1">
        <v>45774</v>
      </c>
      <c r="C5" t="s">
        <v>6</v>
      </c>
      <c r="D5" t="s">
        <v>11</v>
      </c>
      <c r="E5">
        <v>10000</v>
      </c>
      <c r="F5">
        <v>2</v>
      </c>
      <c r="G5" t="str">
        <v>April</v>
      </c>
      <c r="H5" t="str">
        <v>2025</v>
      </c>
      <c r="I5" t="str">
        <v>Sunday</v>
      </c>
      <c r="J5" t="str">
        <v>ok</v>
      </c>
    </row>
    <row r="6" spans="1:11" x14ac:dyDescent="0.25">
      <c r="A6">
        <v>105</v>
      </c>
      <c r="B6" s="1">
        <v>45624</v>
      </c>
      <c r="C6" t="s">
        <v>3</v>
      </c>
      <c r="D6" t="s">
        <v>12</v>
      </c>
      <c r="E6">
        <v>35000</v>
      </c>
      <c r="F6">
        <v>3</v>
      </c>
      <c r="G6" t="str">
        <v>November</v>
      </c>
      <c r="H6" t="str">
        <v>2024</v>
      </c>
      <c r="I6" t="str">
        <v>Thursday</v>
      </c>
      <c r="J6" t="str">
        <v>ok</v>
      </c>
    </row>
    <row r="7" spans="1:11" x14ac:dyDescent="0.25">
      <c r="A7">
        <v>106</v>
      </c>
      <c r="B7" s="1">
        <v>45275</v>
      </c>
      <c r="C7" t="s">
        <v>4</v>
      </c>
      <c r="D7" t="s">
        <v>13</v>
      </c>
      <c r="E7">
        <v>20000</v>
      </c>
      <c r="F7">
        <v>1</v>
      </c>
      <c r="G7" t="str">
        <v>December</v>
      </c>
      <c r="H7" t="str">
        <v>2023</v>
      </c>
      <c r="I7" t="str">
        <v>Friday</v>
      </c>
      <c r="J7" t="str">
        <v>ok</v>
      </c>
    </row>
    <row r="8" spans="1:11" x14ac:dyDescent="0.25">
      <c r="A8">
        <v>107</v>
      </c>
      <c r="B8" s="1">
        <v>45447</v>
      </c>
      <c r="C8" t="s">
        <v>5</v>
      </c>
      <c r="D8" t="s">
        <v>15</v>
      </c>
      <c r="E8">
        <v>14000</v>
      </c>
      <c r="F8">
        <v>5</v>
      </c>
      <c r="G8" t="str">
        <v>June</v>
      </c>
      <c r="H8" t="str">
        <v>2024</v>
      </c>
      <c r="I8" t="str">
        <v>Tuesday</v>
      </c>
      <c r="J8" t="str">
        <v>ok</v>
      </c>
    </row>
    <row r="9" spans="1:11" x14ac:dyDescent="0.25">
      <c r="A9">
        <v>108</v>
      </c>
      <c r="B9" s="1">
        <v>45133</v>
      </c>
      <c r="C9" t="s">
        <v>7</v>
      </c>
      <c r="D9" t="s">
        <v>16</v>
      </c>
      <c r="E9">
        <v>75000</v>
      </c>
      <c r="F9">
        <v>2</v>
      </c>
      <c r="G9" t="str">
        <v>July</v>
      </c>
      <c r="H9" t="str">
        <v>2023</v>
      </c>
      <c r="I9" t="str">
        <v>Wednesday</v>
      </c>
      <c r="J9" t="str">
        <v>ok</v>
      </c>
    </row>
    <row r="10" spans="1:11" x14ac:dyDescent="0.25">
      <c r="A10">
        <v>109</v>
      </c>
      <c r="B10" s="1">
        <v>45589</v>
      </c>
      <c r="C10" t="s">
        <v>4</v>
      </c>
      <c r="D10" t="s">
        <v>17</v>
      </c>
      <c r="E10">
        <v>12000</v>
      </c>
      <c r="F10">
        <v>5</v>
      </c>
      <c r="G10" t="str">
        <v>October</v>
      </c>
      <c r="H10" t="str">
        <v>2024</v>
      </c>
      <c r="I10" t="str">
        <v>Thursday</v>
      </c>
      <c r="J10" t="str">
        <v>ok</v>
      </c>
    </row>
    <row r="11" spans="1:11" x14ac:dyDescent="0.25">
      <c r="A11">
        <v>110</v>
      </c>
      <c r="B11" s="1">
        <v>46051</v>
      </c>
      <c r="C11" t="s">
        <v>3</v>
      </c>
      <c r="D11" t="s">
        <v>18</v>
      </c>
      <c r="E11">
        <v>40000</v>
      </c>
      <c r="F11">
        <v>4</v>
      </c>
      <c r="G11" t="str">
        <v>January</v>
      </c>
      <c r="H11" t="str">
        <v>2026</v>
      </c>
      <c r="I11" t="str">
        <v>Thursday</v>
      </c>
      <c r="J11" t="str">
        <v>ok</v>
      </c>
    </row>
    <row r="13" spans="1:11" x14ac:dyDescent="0.25">
      <c r="E13" t="s">
        <v>24</v>
      </c>
      <c r="F13">
        <f>SUM(E2:E11)</f>
        <v>288500</v>
      </c>
    </row>
    <row r="14" spans="1:11" x14ac:dyDescent="0.25">
      <c r="E14" t="s">
        <v>25</v>
      </c>
      <c r="F14">
        <f>SUMIF(C2:C11,"south",E2:E11)</f>
        <v>77500</v>
      </c>
    </row>
    <row r="15" spans="1:11" x14ac:dyDescent="0.25">
      <c r="E15" t="s">
        <v>26</v>
      </c>
      <c r="F15">
        <f>SUMIF(C2:C11,"north",E2:E11)</f>
        <v>47000</v>
      </c>
    </row>
    <row r="16" spans="1:11" x14ac:dyDescent="0.25">
      <c r="E16" t="s">
        <v>27</v>
      </c>
      <c r="F16">
        <f>SUMIF(C2:C11,"East",E2:E11)</f>
        <v>79000</v>
      </c>
    </row>
    <row r="17" spans="5:6" x14ac:dyDescent="0.25">
      <c r="E17" t="s">
        <v>28</v>
      </c>
      <c r="F17">
        <f>SUMIF(C2:C11,"west",E2:E11)</f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2026-01-31T11:41:53Z</dcterms:created>
  <dcterms:modified xsi:type="dcterms:W3CDTF">2026-02-02T12:08:34Z</dcterms:modified>
</cp:coreProperties>
</file>